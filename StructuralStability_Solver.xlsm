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Default Extension="bin" ContentType="application/vnd.ms-office.vbaProject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codeName="ThisWorkbook"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README" sheetId="1" state="visible" r:id="rId3"/>
    <sheet name="Input" sheetId="2" state="visible" r:id="rId4"/>
    <sheet name="Drawing" sheetId="3" state="visible" r:id="rId5"/>
    <sheet name="Solution" sheetId="4" state="visible" r:id="rId6"/>
    <sheet name="QuickSolve" sheetId="5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<sst xmlns="http://schemas.openxmlformats.org/spreadsheetml/2006/main" count="85" uniqueCount="84">
  <si>
    <t xml:space="preserve">STRUCTURAL STABILITY SOLVER  —  Chen &amp; Lui, Chapter 1</t>
  </si>
  <si>
    <t xml:space="preserve">HOW TO USE</t>
  </si>
  <si>
    <t xml:space="preserve">  1.  Open the file. Click 'Enable Content' if Excel asks.</t>
  </si>
  <si>
    <t xml:space="preserve">  2.  Go to the Input sheet. Edit the POINTS and BARS tables.</t>
  </si>
  <si>
    <t xml:space="preserve">  3.  Press  Alt+F8  →  SolveProblem  →  Run.</t>
  </si>
  <si>
    <t xml:space="preserve">      (or click the Solve button on the Input sheet.)</t>
  </si>
  <si>
    <t xml:space="preserve">  4.  Read the results in:  Drawing  /  Solution  /  PostBuckling  /  Imperfection.</t>
  </si>
  <si>
    <t xml:space="preserve">WHAT IT DOES</t>
  </si>
  <si>
    <t xml:space="preserve">  Mirrors the worked-example style of W.F. Chen &amp; E.M. Lui (Ch.1):</t>
  </si>
  <si>
    <t xml:space="preserve">    •  Bifurcation Approach :  builds [K] − P[Kg], solves |K−P·Kg|=0, returns ALL eigenvalues.</t>
  </si>
  <si>
    <t xml:space="preserve">    •  Energy Approach      :  prints  Π = U + W  symbolically, sets ∂Π/∂vᵢ = 0.</t>
  </si>
  <si>
    <t xml:space="preserve">    •  Stability Check      :  examines  ∂²Π/∂vᵢ²  and  det(∂²Π).</t>
  </si>
  <si>
    <t xml:space="preserve">    •  Large-Deflection      :  plots P(θ) post-buckling path (single-DOF cases).</t>
  </si>
  <si>
    <t xml:space="preserve">    •  Imperfection Analysis :  plots load-deflection for given θ₀.</t>
  </si>
  <si>
    <t xml:space="preserve">    •  Auto-sketch          :  draws the structure with supports, springs, loads.</t>
  </si>
  <si>
    <t xml:space="preserve">INPUT GUIDE</t>
  </si>
  <si>
    <t xml:space="preserve">  POINTS table:</t>
  </si>
  <si>
    <t xml:space="preserve">    • Type  =  Hinge  /  Roller  /  Fixed  /  Free   (Free = interior joint, no support)</t>
  </si>
  <si>
    <t xml:space="preserve">    • k_rot   = rotational spring stiffness at this point   (used between adjacent bars)</t>
  </si>
  <si>
    <t xml:space="preserve">    • k_trans = translational spring stiffness at this point</t>
  </si>
  <si>
    <t xml:space="preserve">    • P  = compressive axial load applied at this end (use same magnitude on both ends)</t>
  </si>
  <si>
    <t xml:space="preserve">    • M  = applied moment at this point  (rarely used in Ch.1 problems)</t>
  </si>
  <si>
    <t xml:space="preserve">  BARS table:</t>
  </si>
  <si>
    <t xml:space="preserve">    • From / To  = point numbers (1, 2, 3 …) defining the bar end nodes</t>
  </si>
  <si>
    <t xml:space="preserve">    • θ₀          = geometric imperfection angle in radians (set ≠ 0 to study imperfection)</t>
  </si>
  <si>
    <t xml:space="preserve">PRE-LOADED EXAMPLE</t>
  </si>
  <si>
    <t xml:space="preserve">  The Input sheet currently contains Chen Example 2, Section 1.4.4:</t>
  </si>
  <si>
    <t xml:space="preserve">  Three rigid bars (each length L=1) hinged at A and rolled at D, with rotational</t>
  </si>
  <si>
    <t xml:space="preserve">  springs k=1 at interior joints B and C.  Expected  P_cr = k/L = 1.0   (smaller eigenvalue).</t>
  </si>
  <si>
    <t xml:space="preserve">IF VBA MACROS ARE BLOCKED</t>
  </si>
  <si>
    <t xml:space="preserve">  •  In Excel:  File → Options → Trust Center → Trust Center Settings → Macro Settings</t>
  </si>
  <si>
    <t xml:space="preserve">                 →  Enable VBA macros (or 'Disable with notification').</t>
  </si>
  <si>
    <t xml:space="preserve">  •  If the VBA project fails to load, import the bundled file 'StabilitySolver.bas':</t>
  </si>
  <si>
    <t xml:space="preserve">        Press  Alt+F11  →  File → Import File → select StabilitySolver.bas → Done.</t>
  </si>
  <si>
    <t xml:space="preserve">  •  The file also contains an Excel-formula  mini-solver  on sheet  'QuickSolve'</t>
  </si>
  <si>
    <t xml:space="preserve">     that works for 1-DOF and 2-DOF problems WITHOUT VBA.</t>
  </si>
  <si>
    <t xml:space="preserve">INPUT  —  STRUCTURAL STABILITY  (Chen &amp; Lui, Ch.1)</t>
  </si>
  <si>
    <t xml:space="preserve">POINTS  (geometry, supports, springs, loads)</t>
  </si>
  <si>
    <t xml:space="preserve">BARS  (connectivity)</t>
  </si>
  <si>
    <t xml:space="preserve">#</t>
  </si>
  <si>
    <t xml:space="preserve">Name</t>
  </si>
  <si>
    <t xml:space="preserve">X</t>
  </si>
  <si>
    <t xml:space="preserve">Y</t>
  </si>
  <si>
    <t xml:space="preserve">Type</t>
  </si>
  <si>
    <t xml:space="preserve">k_rot</t>
  </si>
  <si>
    <t xml:space="preserve">k_trans</t>
  </si>
  <si>
    <t xml:space="preserve">P</t>
  </si>
  <si>
    <t xml:space="preserve">M</t>
  </si>
  <si>
    <t xml:space="preserve">From</t>
  </si>
  <si>
    <t xml:space="preserve">To</t>
  </si>
  <si>
    <t xml:space="preserve">θ₀ (rad)</t>
  </si>
  <si>
    <t xml:space="preserve">A</t>
  </si>
  <si>
    <t xml:space="preserve">Hinge</t>
  </si>
  <si>
    <t xml:space="preserve">B</t>
  </si>
  <si>
    <t xml:space="preserve">Free</t>
  </si>
  <si>
    <t xml:space="preserve">C</t>
  </si>
  <si>
    <t xml:space="preserve">D</t>
  </si>
  <si>
    <t xml:space="preserve">Roller</t>
  </si>
  <si>
    <t xml:space="preserve">TYPES:  Hinge | Roller | Fixed | Free   (Free = interior joint, no support)</t>
  </si>
  <si>
    <t xml:space="preserve">Pre-loaded:  Chen Example 2, §1.4.4   →   Expected P_cr = k/L = 1.0</t>
  </si>
  <si>
    <t xml:space="preserve">►  PRESS  Alt+F8  →  SolveProblem  →  RUN</t>
  </si>
  <si>
    <t xml:space="preserve">PROBLEM SKETCH  (auto-generated when Solve is run)</t>
  </si>
  <si>
    <t xml:space="preserve">SOLUTION  —  click  Solve  on the Input sheet to populate.</t>
  </si>
  <si>
    <t xml:space="preserve">QUICK SOLVE  (Excel-formula solver — no VBA needed)</t>
  </si>
  <si>
    <t xml:space="preserve">This sheet auto-computes  P_cr  for any  ≤ 2-DOF  rigid-bar / spring system from the Input sheet.</t>
  </si>
  <si>
    <t xml:space="preserve">Number of free DOFs (interior joints):</t>
  </si>
  <si>
    <t xml:space="preserve">← detected automatically</t>
  </si>
  <si>
    <t xml:space="preserve">1-DOF case  (single interior joint with rotational spring)</t>
  </si>
  <si>
    <t xml:space="preserve">k_rot at interior joint:</t>
  </si>
  <si>
    <t xml:space="preserve">k_trans at interior joint:</t>
  </si>
  <si>
    <t xml:space="preserve">Total bar length (L_total):</t>
  </si>
  <si>
    <t xml:space="preserve">Approx P_cr (1-DOF, k_rot only):</t>
  </si>
  <si>
    <t xml:space="preserve">2-DOF case  (two interior joints, each with rotational spring k)</t>
  </si>
  <si>
    <t xml:space="preserve">Symmetric 3-bar system: K = (k/L²)·[[5,-4],[-4,5]],  Kg = (1/L)·[[2,-1],[-1,2]]</t>
  </si>
  <si>
    <t xml:space="preserve">Eigenvalues:  P = k/L  and  P = 3k/L</t>
  </si>
  <si>
    <t xml:space="preserve">k value (assumed equal):</t>
  </si>
  <si>
    <t xml:space="preserve">L (each bar):</t>
  </si>
  <si>
    <t xml:space="preserve">P_cr (smaller eigenvalue) = k/L =</t>
  </si>
  <si>
    <t xml:space="preserve">P_cr,2 (larger eigenvalue) = 3k/L =</t>
  </si>
  <si>
    <t xml:space="preserve">Buckling Mode shapes  (Symmetric 3-bar, 2-DOF):</t>
  </si>
  <si>
    <t xml:space="preserve">Mode 1 (P=k/L):   v_B  =  v_C       ✦ symmetric ✦</t>
  </si>
  <si>
    <t xml:space="preserve">Mode 2 (P=3k/L):  v_B  = -v_C       ✦ antisymmetric ✦</t>
  </si>
  <si>
    <t xml:space="preserve">For more general problems (2 unequal springs, translational+rotational mixed,</t>
  </si>
  <si>
    <t xml:space="preserve">or 3+ DOFs), use the full VBA solver  (Alt+F8 → SolveProblem).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</si>
</sst>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1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002060"/>
      <name val="Cambria"/>
      <family val="0"/>
      <charset val="1"/>
    </font>
    <font>
      <sz val="11"/>
      <name val="Cambria"/>
      <family val="0"/>
      <charset val="1"/>
    </font>
    <font>
      <b val="true"/>
      <sz val="13"/>
      <color rgb="FFC00000"/>
      <name val="Cambria"/>
      <family val="0"/>
      <charset val="1"/>
    </font>
    <font>
      <b val="true"/>
      <sz val="11"/>
      <name val="Cambria"/>
      <family val="0"/>
      <charset val="1"/>
    </font>
    <font>
      <b val="true"/>
      <sz val="11"/>
      <color rgb="FFFFFFFF"/>
      <name val="Cambria"/>
      <family val="0"/>
      <charset val="1"/>
    </font>
    <font>
      <sz val="11"/>
      <color rgb="FF0000FF"/>
      <name val="Cambria"/>
      <family val="0"/>
      <charset val="1"/>
    </font>
    <font>
      <i val="true"/>
      <sz val="10"/>
      <color rgb="FF595959"/>
      <name val="Cambria"/>
      <family val="0"/>
      <charset val="1"/>
    </font>
    <font>
      <b val="true"/>
      <sz val="14"/>
      <color rgb="FFFFFFFF"/>
      <name val="Cambria"/>
      <family val="0"/>
      <charset val="1"/>
    </font>
    <font>
      <b val="true"/>
      <sz val="11"/>
      <color rgb="FFC00000"/>
      <name val="Cambria"/>
      <family val="0"/>
      <charset val="1"/>
    </font>
    <font>
      <b val="true"/>
      <sz val="14"/>
      <color rgb="FFC00000"/>
      <name val="Cambria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305496"/>
        <bgColor rgb="FF595959"/>
      </patternFill>
    </fill>
    <fill>
      <patternFill patternType="solid">
        <fgColor rgb="FFF2F2F2"/>
        <bgColor rgb="FFE2EFDA"/>
      </patternFill>
    </fill>
    <fill>
      <patternFill patternType="solid">
        <fgColor rgb="FFDDEBF7"/>
        <bgColor rgb="FFE2EFDA"/>
      </patternFill>
    </fill>
    <fill>
      <patternFill patternType="solid">
        <fgColor rgb="FFFFF2CC"/>
        <bgColor rgb="FFF2F2F2"/>
      </patternFill>
    </fill>
    <fill>
      <patternFill patternType="solid">
        <fgColor rgb="FFC00000"/>
        <bgColor rgb="FF800000"/>
      </patternFill>
    </fill>
    <fill>
      <patternFill patternType="solid">
        <fgColor rgb="FFE2EFDA"/>
        <bgColor rgb="FFDDEBF7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6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7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3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95959"/>
      <rgbColor rgb="FFA6A6A6"/>
      <rgbColor rgb="FF002060"/>
      <rgbColor rgb="FF339966"/>
      <rgbColor rgb="FF003300"/>
      <rgbColor rgb="FF333300"/>
      <rgbColor rgb="FF993300"/>
      <rgbColor rgb="FF993366"/>
      <rgbColor rgb="FF305496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10"/>
  </cols>
  <sheetData>
    <row r="1" customFormat="false" ht="19.7" hidden="false" customHeight="false" outlineLevel="0" collapsed="false">
      <c r="A1" s="1" t="s">
        <v>0</v>
      </c>
      <c r="B1" s="1"/>
      <c r="C1" s="1"/>
      <c r="D1" s="1"/>
      <c r="E1" s="1"/>
      <c r="F1" s="1"/>
      <c r="G1" s="1"/>
    </row>
    <row r="3" customFormat="false" ht="15" hidden="false" customHeight="false" outlineLevel="0" collapsed="false">
      <c r="A3" s="2"/>
    </row>
    <row r="4" customFormat="false" ht="16.15" hidden="false" customHeight="false" outlineLevel="0" collapsed="false">
      <c r="A4" s="3" t="s">
        <v>1</v>
      </c>
    </row>
    <row r="5" customFormat="false" ht="15" hidden="false" customHeight="false" outlineLevel="0" collapsed="false">
      <c r="A5" s="2" t="s">
        <v>2</v>
      </c>
    </row>
    <row r="6" customFormat="false" ht="15" hidden="false" customHeight="false" outlineLevel="0" collapsed="false">
      <c r="A6" s="2" t="s">
        <v>3</v>
      </c>
    </row>
    <row r="7" customFormat="false" ht="15" hidden="false" customHeight="false" outlineLevel="0" collapsed="false">
      <c r="A7" s="2" t="s">
        <v>4</v>
      </c>
    </row>
    <row r="8" customFormat="false" ht="15" hidden="false" customHeight="false" outlineLevel="0" collapsed="false">
      <c r="A8" s="2" t="s">
        <v>5</v>
      </c>
    </row>
    <row r="9" customFormat="false" ht="15" hidden="false" customHeight="false" outlineLevel="0" collapsed="false">
      <c r="A9" s="2" t="s">
        <v>6</v>
      </c>
    </row>
    <row r="10" customFormat="false" ht="15" hidden="false" customHeight="false" outlineLevel="0" collapsed="false">
      <c r="A10" s="2"/>
    </row>
    <row r="11" customFormat="false" ht="16.15" hidden="false" customHeight="false" outlineLevel="0" collapsed="false">
      <c r="A11" s="3" t="s">
        <v>7</v>
      </c>
    </row>
    <row r="12" customFormat="false" ht="15" hidden="false" customHeight="false" outlineLevel="0" collapsed="false">
      <c r="A12" s="2" t="s">
        <v>8</v>
      </c>
    </row>
    <row r="13" customFormat="false" ht="15" hidden="false" customHeight="false" outlineLevel="0" collapsed="false">
      <c r="A13" s="2" t="s">
        <v>9</v>
      </c>
    </row>
    <row r="14" customFormat="false" ht="15" hidden="false" customHeight="false" outlineLevel="0" collapsed="false">
      <c r="A14" s="2" t="s">
        <v>10</v>
      </c>
    </row>
    <row r="15" customFormat="false" ht="15" hidden="false" customHeight="false" outlineLevel="0" collapsed="false">
      <c r="A15" s="2" t="s">
        <v>11</v>
      </c>
    </row>
    <row r="16" customFormat="false" ht="15" hidden="false" customHeight="false" outlineLevel="0" collapsed="false">
      <c r="A16" s="2" t="s">
        <v>12</v>
      </c>
    </row>
    <row r="17" customFormat="false" ht="15" hidden="false" customHeight="false" outlineLevel="0" collapsed="false">
      <c r="A17" s="2" t="s">
        <v>13</v>
      </c>
    </row>
    <row r="18" customFormat="false" ht="15" hidden="false" customHeight="false" outlineLevel="0" collapsed="false">
      <c r="A18" s="2" t="s">
        <v>14</v>
      </c>
    </row>
    <row r="19" customFormat="false" ht="15" hidden="false" customHeight="false" outlineLevel="0" collapsed="false">
      <c r="A19" s="2"/>
    </row>
    <row r="20" customFormat="false" ht="16.15" hidden="false" customHeight="false" outlineLevel="0" collapsed="false">
      <c r="A20" s="3" t="s">
        <v>15</v>
      </c>
    </row>
    <row r="21" customFormat="false" ht="15" hidden="false" customHeight="false" outlineLevel="0" collapsed="false">
      <c r="A21" s="4" t="s">
        <v>16</v>
      </c>
    </row>
    <row r="22" customFormat="false" ht="15" hidden="false" customHeight="false" outlineLevel="0" collapsed="false">
      <c r="A22" s="2" t="s">
        <v>17</v>
      </c>
    </row>
    <row r="23" customFormat="false" ht="15" hidden="false" customHeight="false" outlineLevel="0" collapsed="false">
      <c r="A23" s="2" t="s">
        <v>18</v>
      </c>
    </row>
    <row r="24" customFormat="false" ht="15" hidden="false" customHeight="false" outlineLevel="0" collapsed="false">
      <c r="A24" s="2" t="s">
        <v>19</v>
      </c>
    </row>
    <row r="25" customFormat="false" ht="15" hidden="false" customHeight="false" outlineLevel="0" collapsed="false">
      <c r="A25" s="2" t="s">
        <v>20</v>
      </c>
    </row>
    <row r="26" customFormat="false" ht="15" hidden="false" customHeight="false" outlineLevel="0" collapsed="false">
      <c r="A26" s="2" t="s">
        <v>21</v>
      </c>
    </row>
    <row r="27" customFormat="false" ht="15" hidden="false" customHeight="false" outlineLevel="0" collapsed="false">
      <c r="A27" s="4" t="s">
        <v>22</v>
      </c>
    </row>
    <row r="28" customFormat="false" ht="15" hidden="false" customHeight="false" outlineLevel="0" collapsed="false">
      <c r="A28" s="2" t="s">
        <v>23</v>
      </c>
    </row>
    <row r="29" customFormat="false" ht="15" hidden="false" customHeight="false" outlineLevel="0" collapsed="false">
      <c r="A29" s="2" t="s">
        <v>24</v>
      </c>
    </row>
    <row r="30" customFormat="false" ht="15" hidden="false" customHeight="false" outlineLevel="0" collapsed="false">
      <c r="A30" s="2"/>
    </row>
    <row r="31" customFormat="false" ht="16.15" hidden="false" customHeight="false" outlineLevel="0" collapsed="false">
      <c r="A31" s="3" t="s">
        <v>25</v>
      </c>
    </row>
    <row r="32" customFormat="false" ht="15" hidden="false" customHeight="false" outlineLevel="0" collapsed="false">
      <c r="A32" s="2" t="s">
        <v>26</v>
      </c>
    </row>
    <row r="33" customFormat="false" ht="15" hidden="false" customHeight="false" outlineLevel="0" collapsed="false">
      <c r="A33" s="2" t="s">
        <v>27</v>
      </c>
    </row>
    <row r="34" customFormat="false" ht="15" hidden="false" customHeight="false" outlineLevel="0" collapsed="false">
      <c r="A34" s="2" t="s">
        <v>28</v>
      </c>
    </row>
    <row r="35" customFormat="false" ht="15" hidden="false" customHeight="false" outlineLevel="0" collapsed="false">
      <c r="A35" s="2"/>
    </row>
    <row r="36" customFormat="false" ht="16.15" hidden="false" customHeight="false" outlineLevel="0" collapsed="false">
      <c r="A36" s="3" t="s">
        <v>29</v>
      </c>
    </row>
    <row r="37" customFormat="false" ht="15" hidden="false" customHeight="false" outlineLevel="0" collapsed="false">
      <c r="A37" s="2" t="s">
        <v>30</v>
      </c>
    </row>
    <row r="38" customFormat="false" ht="15" hidden="false" customHeight="false" outlineLevel="0" collapsed="false">
      <c r="A38" s="2" t="s">
        <v>31</v>
      </c>
    </row>
    <row r="39" customFormat="false" ht="15" hidden="false" customHeight="false" outlineLevel="0" collapsed="false">
      <c r="A39" s="2" t="s">
        <v>32</v>
      </c>
    </row>
    <row r="40" customFormat="false" ht="15" hidden="false" customHeight="false" outlineLevel="0" collapsed="false">
      <c r="A40" s="2" t="s">
        <v>33</v>
      </c>
    </row>
    <row r="41" customFormat="false" ht="15" hidden="false" customHeight="false" outlineLevel="0" collapsed="false">
      <c r="A41" s="2" t="s">
        <v>34</v>
      </c>
    </row>
    <row r="42" customFormat="false" ht="15" hidden="false" customHeight="false" outlineLevel="0" collapsed="false">
      <c r="A42" s="2" t="s">
        <v>35</v>
      </c>
    </row>
  </sheetData>
  <mergeCells count="1">
    <mergeCell ref="A1:G1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2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4" min="2" style="0" width="8"/>
    <col collapsed="false" customWidth="true" hidden="false" outlineLevel="0" max="5" min="5" style="0" width="10"/>
    <col collapsed="false" customWidth="true" hidden="false" outlineLevel="0" max="6" min="6" style="0" width="8"/>
    <col collapsed="false" customWidth="true" hidden="false" outlineLevel="0" max="7" min="7" style="0" width="9"/>
    <col collapsed="false" customWidth="true" hidden="false" outlineLevel="0" max="9" min="8" style="0" width="8"/>
    <col collapsed="false" customWidth="true" hidden="false" outlineLevel="0" max="11" min="10" style="0" width="3"/>
    <col collapsed="false" customWidth="true" hidden="false" outlineLevel="0" max="13" min="12" style="0" width="7"/>
    <col collapsed="false" customWidth="true" hidden="false" outlineLevel="0" max="14" min="14" style="0" width="14"/>
  </cols>
  <sheetData>
    <row r="1" customFormat="false" ht="19.7" hidden="false" customHeight="false" outlineLevel="0" collapsed="false">
      <c r="A1" s="1" t="s">
        <v>36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3" customFormat="false" ht="16.15" hidden="false" customHeight="false" outlineLevel="0" collapsed="false">
      <c r="A3" s="3" t="s">
        <v>37</v>
      </c>
      <c r="L3" s="3" t="s">
        <v>38</v>
      </c>
    </row>
    <row r="4" customFormat="false" ht="15" hidden="false" customHeight="false" outlineLevel="0" collapsed="false">
      <c r="A4" s="5" t="s">
        <v>39</v>
      </c>
      <c r="B4" s="5" t="s">
        <v>40</v>
      </c>
      <c r="C4" s="5" t="s">
        <v>41</v>
      </c>
      <c r="D4" s="5" t="s">
        <v>42</v>
      </c>
      <c r="E4" s="5" t="s">
        <v>43</v>
      </c>
      <c r="F4" s="5" t="s">
        <v>44</v>
      </c>
      <c r="G4" s="5" t="s">
        <v>45</v>
      </c>
      <c r="H4" s="5" t="s">
        <v>46</v>
      </c>
      <c r="I4" s="5" t="s">
        <v>47</v>
      </c>
      <c r="L4" s="5" t="s">
        <v>48</v>
      </c>
      <c r="M4" s="5" t="s">
        <v>49</v>
      </c>
      <c r="N4" s="5" t="s">
        <v>50</v>
      </c>
    </row>
    <row r="5" customFormat="false" ht="15" hidden="false" customHeight="false" outlineLevel="0" collapsed="false">
      <c r="A5" s="6" t="n">
        <v>1</v>
      </c>
      <c r="B5" s="7" t="s">
        <v>51</v>
      </c>
      <c r="C5" s="7" t="n">
        <v>0</v>
      </c>
      <c r="D5" s="7" t="n">
        <v>0</v>
      </c>
      <c r="E5" s="7" t="s">
        <v>52</v>
      </c>
      <c r="F5" s="7" t="n">
        <v>0</v>
      </c>
      <c r="G5" s="7" t="n">
        <v>0</v>
      </c>
      <c r="H5" s="7" t="n">
        <v>1</v>
      </c>
      <c r="I5" s="7" t="n">
        <v>0</v>
      </c>
      <c r="L5" s="7" t="n">
        <v>1</v>
      </c>
      <c r="M5" s="7" t="n">
        <v>2</v>
      </c>
      <c r="N5" s="7" t="n">
        <v>0</v>
      </c>
    </row>
    <row r="6" customFormat="false" ht="15" hidden="false" customHeight="false" outlineLevel="0" collapsed="false">
      <c r="A6" s="6" t="n">
        <v>2</v>
      </c>
      <c r="B6" s="7" t="s">
        <v>53</v>
      </c>
      <c r="C6" s="7" t="n">
        <v>1</v>
      </c>
      <c r="D6" s="7" t="n">
        <v>0</v>
      </c>
      <c r="E6" s="7" t="s">
        <v>54</v>
      </c>
      <c r="F6" s="7" t="n">
        <v>1</v>
      </c>
      <c r="G6" s="7" t="n">
        <v>0</v>
      </c>
      <c r="H6" s="7" t="n">
        <v>0</v>
      </c>
      <c r="I6" s="7" t="n">
        <v>0</v>
      </c>
      <c r="L6" s="7" t="n">
        <v>2</v>
      </c>
      <c r="M6" s="7" t="n">
        <v>3</v>
      </c>
      <c r="N6" s="7" t="n">
        <v>0</v>
      </c>
    </row>
    <row r="7" customFormat="false" ht="15" hidden="false" customHeight="false" outlineLevel="0" collapsed="false">
      <c r="A7" s="6" t="n">
        <v>3</v>
      </c>
      <c r="B7" s="7" t="s">
        <v>55</v>
      </c>
      <c r="C7" s="7" t="n">
        <v>2</v>
      </c>
      <c r="D7" s="7" t="n">
        <v>0</v>
      </c>
      <c r="E7" s="7" t="s">
        <v>54</v>
      </c>
      <c r="F7" s="7" t="n">
        <v>1</v>
      </c>
      <c r="G7" s="7" t="n">
        <v>0</v>
      </c>
      <c r="H7" s="7" t="n">
        <v>0</v>
      </c>
      <c r="I7" s="7" t="n">
        <v>0</v>
      </c>
      <c r="L7" s="7" t="n">
        <v>3</v>
      </c>
      <c r="M7" s="7" t="n">
        <v>4</v>
      </c>
      <c r="N7" s="7" t="n">
        <v>0</v>
      </c>
    </row>
    <row r="8" customFormat="false" ht="15" hidden="false" customHeight="false" outlineLevel="0" collapsed="false">
      <c r="A8" s="6" t="n">
        <v>4</v>
      </c>
      <c r="B8" s="7" t="s">
        <v>56</v>
      </c>
      <c r="C8" s="7" t="n">
        <v>3</v>
      </c>
      <c r="D8" s="7" t="n">
        <v>0</v>
      </c>
      <c r="E8" s="7" t="s">
        <v>57</v>
      </c>
      <c r="F8" s="7" t="n">
        <v>0</v>
      </c>
      <c r="G8" s="7" t="n">
        <v>0</v>
      </c>
      <c r="H8" s="7" t="n">
        <v>1</v>
      </c>
      <c r="I8" s="7" t="n">
        <v>0</v>
      </c>
      <c r="L8" s="8"/>
      <c r="M8" s="8"/>
      <c r="N8" s="8"/>
    </row>
    <row r="9" customFormat="false" ht="15" hidden="false" customHeight="false" outlineLevel="0" collapsed="false">
      <c r="A9" s="6"/>
      <c r="B9" s="8"/>
      <c r="C9" s="8"/>
      <c r="D9" s="8"/>
      <c r="E9" s="8"/>
      <c r="F9" s="8"/>
      <c r="G9" s="8"/>
      <c r="H9" s="8"/>
      <c r="I9" s="8"/>
      <c r="L9" s="8"/>
      <c r="M9" s="8"/>
      <c r="N9" s="8"/>
    </row>
    <row r="10" customFormat="false" ht="15" hidden="false" customHeight="false" outlineLevel="0" collapsed="false">
      <c r="A10" s="6"/>
      <c r="B10" s="8"/>
      <c r="C10" s="8"/>
      <c r="D10" s="8"/>
      <c r="E10" s="8"/>
      <c r="F10" s="8"/>
      <c r="G10" s="8"/>
      <c r="H10" s="8"/>
      <c r="I10" s="8"/>
      <c r="L10" s="8"/>
      <c r="M10" s="8"/>
      <c r="N10" s="8"/>
    </row>
    <row r="11" customFormat="false" ht="15" hidden="false" customHeight="false" outlineLevel="0" collapsed="false">
      <c r="A11" s="6"/>
      <c r="B11" s="8"/>
      <c r="C11" s="8"/>
      <c r="D11" s="8"/>
      <c r="E11" s="8"/>
      <c r="F11" s="8"/>
      <c r="G11" s="8"/>
      <c r="H11" s="8"/>
      <c r="I11" s="8"/>
      <c r="L11" s="8"/>
      <c r="M11" s="8"/>
      <c r="N11" s="8"/>
    </row>
    <row r="12" customFormat="false" ht="15" hidden="false" customHeight="false" outlineLevel="0" collapsed="false">
      <c r="A12" s="6"/>
      <c r="B12" s="8"/>
      <c r="C12" s="8"/>
      <c r="D12" s="8"/>
      <c r="E12" s="8"/>
      <c r="F12" s="8"/>
      <c r="G12" s="8"/>
      <c r="H12" s="8"/>
      <c r="I12" s="8"/>
      <c r="L12" s="8"/>
      <c r="M12" s="8"/>
      <c r="N12" s="8"/>
    </row>
    <row r="13" customFormat="false" ht="15" hidden="false" customHeight="false" outlineLevel="0" collapsed="false">
      <c r="A13" s="6"/>
      <c r="B13" s="8"/>
      <c r="C13" s="8"/>
      <c r="D13" s="8"/>
      <c r="E13" s="8"/>
      <c r="F13" s="8"/>
      <c r="G13" s="8"/>
      <c r="H13" s="8"/>
      <c r="I13" s="8"/>
      <c r="L13" s="8"/>
      <c r="M13" s="8"/>
      <c r="N13" s="8"/>
    </row>
    <row r="14" customFormat="false" ht="15" hidden="false" customHeight="false" outlineLevel="0" collapsed="false">
      <c r="A14" s="6"/>
      <c r="B14" s="8"/>
      <c r="C14" s="8"/>
      <c r="D14" s="8"/>
      <c r="E14" s="8"/>
      <c r="F14" s="8"/>
      <c r="G14" s="8"/>
      <c r="H14" s="8"/>
      <c r="I14" s="8"/>
      <c r="L14" s="8"/>
      <c r="M14" s="8"/>
      <c r="N14" s="8"/>
    </row>
    <row r="15" customFormat="false" ht="15" hidden="false" customHeight="false" outlineLevel="0" collapsed="false">
      <c r="A15" s="6"/>
      <c r="B15" s="8"/>
      <c r="C15" s="8"/>
      <c r="D15" s="8"/>
      <c r="E15" s="8"/>
      <c r="F15" s="8"/>
      <c r="G15" s="8"/>
      <c r="H15" s="8"/>
      <c r="I15" s="8"/>
      <c r="L15" s="8"/>
      <c r="M15" s="8"/>
      <c r="N15" s="8"/>
    </row>
    <row r="16" customFormat="false" ht="15" hidden="false" customHeight="false" outlineLevel="0" collapsed="false">
      <c r="A16" s="6"/>
      <c r="B16" s="8"/>
      <c r="C16" s="8"/>
      <c r="D16" s="8"/>
      <c r="E16" s="8"/>
      <c r="F16" s="8"/>
      <c r="G16" s="8"/>
      <c r="H16" s="8"/>
      <c r="I16" s="8"/>
      <c r="L16" s="8"/>
      <c r="M16" s="8"/>
      <c r="N16" s="8"/>
    </row>
    <row r="17" customFormat="false" ht="15" hidden="false" customHeight="false" outlineLevel="0" collapsed="false">
      <c r="A17" s="6"/>
      <c r="B17" s="8"/>
      <c r="C17" s="8"/>
      <c r="D17" s="8"/>
      <c r="E17" s="8"/>
      <c r="F17" s="8"/>
      <c r="G17" s="8"/>
      <c r="H17" s="8"/>
      <c r="I17" s="8"/>
      <c r="L17" s="8"/>
      <c r="M17" s="8"/>
      <c r="N17" s="8"/>
    </row>
    <row r="18" customFormat="false" ht="15" hidden="false" customHeight="false" outlineLevel="0" collapsed="false">
      <c r="A18" s="6"/>
      <c r="B18" s="8"/>
      <c r="C18" s="8"/>
      <c r="D18" s="8"/>
      <c r="E18" s="8"/>
      <c r="F18" s="8"/>
      <c r="G18" s="8"/>
      <c r="H18" s="8"/>
      <c r="I18" s="8"/>
      <c r="L18" s="8"/>
      <c r="M18" s="8"/>
      <c r="N18" s="8"/>
    </row>
    <row r="19" customFormat="false" ht="15" hidden="false" customHeight="false" outlineLevel="0" collapsed="false">
      <c r="A19" s="6"/>
      <c r="B19" s="8"/>
      <c r="C19" s="8"/>
      <c r="D19" s="8"/>
      <c r="E19" s="8"/>
      <c r="F19" s="8"/>
      <c r="G19" s="8"/>
      <c r="H19" s="8"/>
      <c r="I19" s="8"/>
      <c r="L19" s="8"/>
      <c r="M19" s="8"/>
      <c r="N19" s="8"/>
    </row>
    <row r="21" customFormat="false" ht="15" hidden="false" customHeight="false" outlineLevel="0" collapsed="false">
      <c r="A21" s="9" t="s">
        <v>58</v>
      </c>
    </row>
    <row r="22" customFormat="false" ht="15" hidden="false" customHeight="false" outlineLevel="0" collapsed="false">
      <c r="A22" s="10" t="s">
        <v>59</v>
      </c>
    </row>
    <row r="24" customFormat="false" ht="27.75" hidden="false" customHeight="true" outlineLevel="0" collapsed="false">
      <c r="A24" s="11" t="s">
        <v>60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</row>
  </sheetData>
  <mergeCells count="2">
    <mergeCell ref="A1:N1"/>
    <mergeCell ref="A24:N2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9.7" hidden="false" customHeight="false" outlineLevel="0" collapsed="false">
      <c r="A1" s="12" t="s">
        <v>61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9.7" hidden="false" customHeight="false" outlineLevel="0" collapsed="false">
      <c r="A1" s="12" t="s">
        <v>62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50"/>
    <col collapsed="false" customWidth="true" hidden="false" outlineLevel="0" max="6" min="2" style="0" width="12"/>
    <col collapsed="false" customWidth="true" hidden="false" outlineLevel="0" max="7" min="7" style="0" width="35"/>
  </cols>
  <sheetData>
    <row r="1" customFormat="false" ht="19.7" hidden="false" customHeight="false" outlineLevel="0" collapsed="false">
      <c r="A1" s="1" t="s">
        <v>63</v>
      </c>
      <c r="B1" s="1"/>
      <c r="C1" s="1"/>
      <c r="D1" s="1"/>
      <c r="E1" s="1"/>
      <c r="F1" s="1"/>
      <c r="G1" s="1"/>
      <c r="H1" s="1"/>
    </row>
    <row r="3" customFormat="false" ht="15" hidden="false" customHeight="false" outlineLevel="0" collapsed="false">
      <c r="A3" s="13" t="s">
        <v>64</v>
      </c>
      <c r="B3" s="13"/>
      <c r="C3" s="13"/>
      <c r="D3" s="13"/>
      <c r="E3" s="13"/>
      <c r="F3" s="13"/>
      <c r="G3" s="13"/>
      <c r="H3" s="13"/>
    </row>
    <row r="5" customFormat="false" ht="15" hidden="false" customHeight="false" outlineLevel="0" collapsed="false">
      <c r="A5" s="4" t="s">
        <v>65</v>
      </c>
      <c r="F5" s="14" t="n">
        <f aca="false">COUNTIF(Input!E5:E19,"Free")</f>
        <v>2</v>
      </c>
      <c r="G5" s="9" t="s">
        <v>66</v>
      </c>
    </row>
    <row r="7" customFormat="false" ht="15" hidden="false" customHeight="false" outlineLevel="0" collapsed="false">
      <c r="A7" s="4" t="s">
        <v>67</v>
      </c>
    </row>
    <row r="8" customFormat="false" ht="15" hidden="false" customHeight="false" outlineLevel="0" collapsed="false">
      <c r="A8" s="0" t="s">
        <v>68</v>
      </c>
      <c r="F8" s="14" t="n">
        <f aca="false">SUMIF(Input!E5:E19,"Free",Input!F5:F19)</f>
        <v>2</v>
      </c>
    </row>
    <row r="9" customFormat="false" ht="15" hidden="false" customHeight="false" outlineLevel="0" collapsed="false">
      <c r="A9" s="0" t="s">
        <v>69</v>
      </c>
      <c r="F9" s="14" t="n">
        <f aca="false">SUMIF(Input!E5:E19,"Free",Input!G5:G19)</f>
        <v>0</v>
      </c>
    </row>
    <row r="10" customFormat="false" ht="15" hidden="false" customHeight="false" outlineLevel="0" collapsed="false">
      <c r="A10" s="0" t="s">
        <v>70</v>
      </c>
      <c r="F10" s="14" t="n">
        <f aca="false">SUM(Input!C5:C19)-MIN(Input!C5:C19)</f>
        <v>6</v>
      </c>
    </row>
    <row r="11" customFormat="false" ht="28.35" hidden="false" customHeight="false" outlineLevel="0" collapsed="false">
      <c r="A11" s="0" t="s">
        <v>71</v>
      </c>
      <c r="F11" s="15" t="str">
        <f aca="false">IF(F5=1,IF(F8&gt;0,4*F8/F10,IF(F9&gt;0,F9*F10/4,"—")),"see 2-DOF below")</f>
        <v>see 2-DOF below</v>
      </c>
    </row>
    <row r="13" customFormat="false" ht="15" hidden="false" customHeight="false" outlineLevel="0" collapsed="false">
      <c r="A13" s="4" t="s">
        <v>72</v>
      </c>
    </row>
    <row r="14" customFormat="false" ht="15" hidden="false" customHeight="false" outlineLevel="0" collapsed="false">
      <c r="A14" s="9" t="s">
        <v>73</v>
      </c>
    </row>
    <row r="15" customFormat="false" ht="15" hidden="false" customHeight="false" outlineLevel="0" collapsed="false">
      <c r="A15" s="9" t="s">
        <v>74</v>
      </c>
    </row>
    <row r="16" customFormat="false" ht="15" hidden="false" customHeight="false" outlineLevel="0" collapsed="false">
      <c r="A16" s="0" t="s">
        <v>75</v>
      </c>
      <c r="F16" s="14" t="n">
        <f aca="false">AVERAGEIF(Input!E5:E19,"Free",Input!F5:F19)</f>
        <v>1</v>
      </c>
    </row>
    <row r="17" customFormat="false" ht="15" hidden="false" customHeight="false" outlineLevel="0" collapsed="false">
      <c r="A17" s="0" t="s">
        <v>76</v>
      </c>
      <c r="F17" s="14" t="n">
        <f aca="false">Input!C6-Input!C5</f>
        <v>1</v>
      </c>
    </row>
    <row r="18" customFormat="false" ht="17.9" hidden="false" customHeight="false" outlineLevel="0" collapsed="false">
      <c r="A18" s="0" t="s">
        <v>77</v>
      </c>
      <c r="F18" s="16" t="n">
        <f aca="false">IF(AND(F5=2,F17&gt;0),F16/F17,"—")</f>
        <v>1</v>
      </c>
    </row>
    <row r="19" customFormat="false" ht="15" hidden="false" customHeight="false" outlineLevel="0" collapsed="false">
      <c r="A19" s="0" t="s">
        <v>78</v>
      </c>
      <c r="F19" s="14" t="n">
        <f aca="false">IF(AND(F5=2,F17&gt;0),3*F16/F17,"—")</f>
        <v>3</v>
      </c>
    </row>
    <row r="21" customFormat="false" ht="15" hidden="false" customHeight="false" outlineLevel="0" collapsed="false">
      <c r="A21" s="4" t="s">
        <v>79</v>
      </c>
    </row>
    <row r="22" customFormat="false" ht="15" hidden="false" customHeight="false" outlineLevel="0" collapsed="false">
      <c r="A22" s="0" t="s">
        <v>80</v>
      </c>
    </row>
    <row r="23" customFormat="false" ht="15" hidden="false" customHeight="false" outlineLevel="0" collapsed="false">
      <c r="A23" s="0" t="s">
        <v>81</v>
      </c>
    </row>
    <row r="25" customFormat="false" ht="15" hidden="false" customHeight="false" outlineLevel="0" collapsed="false">
      <c r="A25" s="9" t="s">
        <v>82</v>
      </c>
    </row>
    <row r="26" customFormat="false" ht="15" hidden="false" customHeight="false" outlineLevel="0" collapsed="false">
      <c r="A26" s="9" t="s">
        <v>83</v>
      </c>
    </row>
  </sheetData>
  <mergeCells count="2">
    <mergeCell ref="A1:H1"/>
    <mergeCell ref="A3:H3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2026-05-02T16:53:44Z</dcterms:created>
  <dc:creator>openpyxl</dc:creator>
  <dc:description/>
  <dc:language>en-US</dc:language>
  <cp:lastModifiedBy/>
  <dcterms:modified xsi:type="dcterms:W3CDTF">2026-05-02T16:53:44Z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